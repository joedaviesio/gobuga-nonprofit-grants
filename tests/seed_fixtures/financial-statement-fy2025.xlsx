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&amp; Expend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66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3" max="3"/>
  </cols>
  <sheetData>
    <row r="1">
      <c r="A1" s="1" t="inlineStr">
        <is>
          <t>Kiwi Community Trust — Financial Statement FY2025</t>
        </is>
      </c>
    </row>
    <row r="3">
      <c r="A3" s="2" t="inlineStr">
        <is>
          <t>INCOME</t>
        </is>
      </c>
      <c r="B3" t="inlineStr"/>
      <c r="C3" s="2" t="inlineStr">
        <is>
          <t>Amount (NZD)</t>
        </is>
      </c>
    </row>
    <row r="4">
      <c r="A4" t="inlineStr">
        <is>
          <t>Government Grants — MSD</t>
        </is>
      </c>
      <c r="B4" t="inlineStr"/>
      <c r="C4" t="n">
        <v>320000</v>
      </c>
    </row>
    <row r="5">
      <c r="A5" t="inlineStr">
        <is>
          <t>Government Grants — DIA</t>
        </is>
      </c>
      <c r="B5" t="inlineStr"/>
      <c r="C5" t="n">
        <v>180000</v>
      </c>
    </row>
    <row r="6">
      <c r="A6" t="inlineStr">
        <is>
          <t>Government Grants — MBIE</t>
        </is>
      </c>
      <c r="B6" t="inlineStr"/>
      <c r="C6" t="n">
        <v>180000</v>
      </c>
    </row>
    <row r="7">
      <c r="A7" t="inlineStr">
        <is>
          <t>Foundation North</t>
        </is>
      </c>
      <c r="B7" t="inlineStr"/>
      <c r="C7" t="n">
        <v>120000</v>
      </c>
    </row>
    <row r="8">
      <c r="A8" t="inlineStr">
        <is>
          <t>Todd Foundation</t>
        </is>
      </c>
      <c r="B8" t="inlineStr"/>
      <c r="C8" t="n">
        <v>85000</v>
      </c>
    </row>
    <row r="9">
      <c r="A9" t="inlineStr">
        <is>
          <t>Tindall Foundation</t>
        </is>
      </c>
      <c r="B9" t="inlineStr"/>
      <c r="C9" t="n">
        <v>65000</v>
      </c>
    </row>
    <row r="10">
      <c r="A10" t="inlineStr">
        <is>
          <t>Corporate Sponsorships</t>
        </is>
      </c>
      <c r="B10" t="inlineStr"/>
      <c r="C10" t="n">
        <v>50000</v>
      </c>
    </row>
    <row r="11">
      <c r="A11" t="inlineStr">
        <is>
          <t>Fee for Service</t>
        </is>
      </c>
      <c r="B11" t="inlineStr"/>
      <c r="C11" t="n">
        <v>95000</v>
      </c>
    </row>
    <row r="12">
      <c r="A12" t="inlineStr">
        <is>
          <t>Individual Donations</t>
        </is>
      </c>
      <c r="B12" t="inlineStr"/>
      <c r="C12" t="n">
        <v>78000</v>
      </c>
    </row>
    <row r="13">
      <c r="A13" t="inlineStr">
        <is>
          <t>Interest Income</t>
        </is>
      </c>
      <c r="B13" t="inlineStr"/>
      <c r="C13" t="n">
        <v>12000</v>
      </c>
    </row>
    <row r="14">
      <c r="A14" s="2" t="inlineStr">
        <is>
          <t>TOTAL INCOME</t>
        </is>
      </c>
      <c r="B14" t="inlineStr"/>
      <c r="C14">
        <f>SUM(C4:C13)</f>
        <v/>
      </c>
    </row>
    <row r="16">
      <c r="A16" s="2" t="inlineStr">
        <is>
          <t>EXPENDITURE</t>
        </is>
      </c>
      <c r="B16" t="inlineStr"/>
      <c r="C16" t="inlineStr">
        <is>
          <t>Amount (NZD)</t>
        </is>
      </c>
    </row>
    <row r="17">
      <c r="A17" t="inlineStr">
        <is>
          <t>Salaries &amp; Wages</t>
        </is>
      </c>
      <c r="B17" t="inlineStr"/>
      <c r="C17" t="n">
        <v>520000</v>
      </c>
    </row>
    <row r="18">
      <c r="A18" t="inlineStr">
        <is>
          <t>Programme Delivery</t>
        </is>
      </c>
      <c r="B18" t="inlineStr"/>
      <c r="C18" t="n">
        <v>185000</v>
      </c>
    </row>
    <row r="19">
      <c r="A19" t="inlineStr">
        <is>
          <t>Travel &amp; Transport</t>
        </is>
      </c>
      <c r="B19" t="inlineStr"/>
      <c r="C19" t="n">
        <v>48000</v>
      </c>
    </row>
    <row r="20">
      <c r="A20" t="inlineStr">
        <is>
          <t>Equipment &amp; Technology</t>
        </is>
      </c>
      <c r="B20" t="inlineStr"/>
      <c r="C20" t="n">
        <v>95000</v>
      </c>
    </row>
    <row r="21">
      <c r="A21" t="inlineStr">
        <is>
          <t>Office &amp; Administration</t>
        </is>
      </c>
      <c r="B21" t="inlineStr"/>
      <c r="C21" t="n">
        <v>62000</v>
      </c>
    </row>
    <row r="22">
      <c r="A22" t="inlineStr">
        <is>
          <t>Professional Development</t>
        </is>
      </c>
      <c r="B22" t="inlineStr"/>
      <c r="C22" t="n">
        <v>28000</v>
      </c>
    </row>
    <row r="23">
      <c r="A23" t="inlineStr">
        <is>
          <t>Insurance</t>
        </is>
      </c>
      <c r="B23" t="inlineStr"/>
      <c r="C23" t="n">
        <v>18000</v>
      </c>
    </row>
    <row r="24">
      <c r="A24" t="inlineStr">
        <is>
          <t>Audit &amp; Legal</t>
        </is>
      </c>
      <c r="B24" t="inlineStr"/>
      <c r="C24" t="n">
        <v>22000</v>
      </c>
    </row>
    <row r="25">
      <c r="A25" t="inlineStr">
        <is>
          <t>Communications &amp; Marketing</t>
        </is>
      </c>
      <c r="B25" t="inlineStr"/>
      <c r="C25" t="n">
        <v>35000</v>
      </c>
    </row>
    <row r="26">
      <c r="A26" t="inlineStr">
        <is>
          <t>Depreciation</t>
        </is>
      </c>
      <c r="B26" t="inlineStr"/>
      <c r="C26" t="n">
        <v>42000</v>
      </c>
    </row>
    <row r="27">
      <c r="A27" s="2" t="inlineStr">
        <is>
          <t>TOTAL EXPENDITURE</t>
        </is>
      </c>
      <c r="B27" t="inlineStr"/>
      <c r="C27">
        <f>SUM(C17:C26)</f>
        <v/>
      </c>
    </row>
    <row r="29">
      <c r="A29" s="3" t="inlineStr">
        <is>
          <t>NET SURPLUS/(DEFICIT)</t>
        </is>
      </c>
      <c r="B29" t="inlineStr"/>
      <c r="C29">
        <f>C14-C27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2026-03-18T21:53:39Z</dcterms:created>
  <dcterms:modified xmlns:dcterms="http://purl.org/dc/terms/" xmlns:xsi="http://www.w3.org/2001/XMLSchema-instance" xsi:type="dcterms:W3CDTF">2026-03-18T21:53:39Z</dcterms:modified>
</cp:coreProperties>
</file>